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vi\Downloads\"/>
    </mc:Choice>
  </mc:AlternateContent>
  <xr:revisionPtr revIDLastSave="0" documentId="8_{E9A6E45D-08EA-436F-8D9A-D7AE69332B6A}" xr6:coauthVersionLast="47" xr6:coauthVersionMax="47" xr10:uidLastSave="{00000000-0000-0000-0000-000000000000}"/>
  <bookViews>
    <workbookView xWindow="-108" yWindow="-108" windowWidth="23256" windowHeight="13896" activeTab="2" xr2:uid="{8344126C-C94E-4719-9F4D-9F135177A593}"/>
  </bookViews>
  <sheets>
    <sheet name="DATA" sheetId="1" r:id="rId1"/>
    <sheet name="CALCULATION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2" l="1"/>
  <c r="I2" i="2" s="1"/>
  <c r="B7" i="3" s="1"/>
  <c r="E4" i="2"/>
  <c r="E5" i="2"/>
  <c r="E6" i="2"/>
  <c r="E3" i="2"/>
  <c r="D4" i="2"/>
  <c r="D5" i="2"/>
  <c r="D6" i="2"/>
  <c r="D3" i="2"/>
  <c r="C4" i="2"/>
  <c r="C5" i="2"/>
  <c r="C6" i="2"/>
  <c r="C3" i="2"/>
  <c r="B4" i="2"/>
  <c r="B5" i="2"/>
  <c r="B6" i="2"/>
  <c r="B3" i="2"/>
  <c r="R2" i="2" l="1"/>
  <c r="P2" i="2"/>
  <c r="M2" i="2"/>
  <c r="B8" i="3" s="1"/>
  <c r="L1" i="2"/>
  <c r="I6" i="2"/>
  <c r="I5" i="2"/>
  <c r="F7" i="3" s="1"/>
  <c r="I4" i="2"/>
  <c r="I3" i="2"/>
  <c r="T2" i="2" l="1"/>
  <c r="B30" i="3" s="1"/>
  <c r="T5" i="2"/>
  <c r="G30" i="3" s="1"/>
  <c r="D7" i="3"/>
  <c r="P3" i="2"/>
  <c r="R3" i="2"/>
  <c r="L3" i="2"/>
  <c r="R6" i="2"/>
  <c r="L4" i="2"/>
  <c r="R4" i="2"/>
  <c r="L5" i="2"/>
  <c r="R5" i="2"/>
  <c r="P6" i="2"/>
  <c r="P4" i="2"/>
  <c r="P5" i="2"/>
  <c r="L2" i="2"/>
  <c r="N2" i="2"/>
  <c r="D8" i="3" s="1"/>
  <c r="J7" i="3"/>
  <c r="H7" i="3"/>
</calcChain>
</file>

<file path=xl/sharedStrings.xml><?xml version="1.0" encoding="utf-8"?>
<sst xmlns="http://schemas.openxmlformats.org/spreadsheetml/2006/main" count="43" uniqueCount="34">
  <si>
    <t>YEAR</t>
  </si>
  <si>
    <t>REVENUE</t>
  </si>
  <si>
    <t>NET PROFIT</t>
  </si>
  <si>
    <t>EPS</t>
  </si>
  <si>
    <t>DEPOSITS</t>
  </si>
  <si>
    <t>ADVANCES</t>
  </si>
  <si>
    <t>FY2021</t>
  </si>
  <si>
    <t>FY2022</t>
  </si>
  <si>
    <t>FY2023</t>
  </si>
  <si>
    <t>FY2024</t>
  </si>
  <si>
    <t>FY2025</t>
  </si>
  <si>
    <t>Year</t>
  </si>
  <si>
    <t>Revenue Growth %</t>
  </si>
  <si>
    <t>Profit Growth %</t>
  </si>
  <si>
    <t>Deposit Growth %</t>
  </si>
  <si>
    <t>Advance Growth %</t>
  </si>
  <si>
    <t>HDFC BANK FINANCIAL ANALYSIS DASHBOARD (FY2021 - FY2025)</t>
  </si>
  <si>
    <t>Financial Year</t>
  </si>
  <si>
    <t>Revenue</t>
  </si>
  <si>
    <t>Selected Year</t>
  </si>
  <si>
    <t>Net Profit</t>
  </si>
  <si>
    <t>Deposits</t>
  </si>
  <si>
    <t>Advances</t>
  </si>
  <si>
    <t>Dynamic EPS</t>
  </si>
  <si>
    <t>Dynamic Deposits</t>
  </si>
  <si>
    <t>Dynamic Advances</t>
  </si>
  <si>
    <t>Dynamic Revenue</t>
  </si>
  <si>
    <t>Dynamic Profit</t>
  </si>
  <si>
    <t>Dynamic Key Insights</t>
  </si>
  <si>
    <t>Dynamic Business Conclusions</t>
  </si>
  <si>
    <t>Excecutive Insights</t>
  </si>
  <si>
    <t>Executive Business Conclusions</t>
  </si>
  <si>
    <t>EXECUTIVE BUSINESS CONCLUSIONS:</t>
  </si>
  <si>
    <t>EXECUTIVE KEY INSIGHTS: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</si>
</sst>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\ &quot;Cr&quot;"/>
    <numFmt numFmtId="165" formatCode="&quot;₹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4" tint="0.59999389629810485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20"/>
      <color theme="4" tint="0.7999816888943144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10" fontId="0" fillId="0" borderId="0" xfId="1" applyNumberFormat="1" applyFont="1"/>
    <xf numFmtId="164" fontId="3" fillId="0" borderId="0" xfId="0" applyNumberFormat="1" applyFont="1" applyAlignment="1">
      <alignment vertical="center"/>
    </xf>
    <xf numFmtId="164" fontId="3" fillId="0" borderId="0" xfId="0" applyNumberFormat="1" applyFont="1"/>
    <xf numFmtId="165" fontId="3" fillId="0" borderId="0" xfId="0" applyNumberFormat="1" applyFont="1"/>
    <xf numFmtId="0" fontId="2" fillId="2" borderId="0" xfId="0" applyFont="1" applyFill="1" applyAlignment="1">
      <alignment horizontal="center"/>
    </xf>
    <xf numFmtId="10" fontId="3" fillId="0" borderId="0" xfId="0" applyNumberFormat="1" applyFont="1"/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0" fontId="5" fillId="3" borderId="0" xfId="0" applyFont="1" applyFill="1"/>
    <xf numFmtId="2" fontId="6" fillId="4" borderId="0" xfId="0" applyNumberFormat="1" applyFont="1" applyFill="1" applyAlignment="1">
      <alignment vertical="top" wrapText="1"/>
    </xf>
    <xf numFmtId="0" fontId="5" fillId="3" borderId="0" xfId="0" applyFont="1" applyFill="1"/>
    <xf numFmtId="0" fontId="7" fillId="3" borderId="0" xfId="0" applyFont="1" applyFill="1" applyAlignment="1">
      <alignment horizontal="center"/>
    </xf>
    <xf numFmtId="0" fontId="0" fillId="0" borderId="0" xfId="0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(FY2021 - FY2025)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8029250804873"/>
          <c:y val="0.23933987226641124"/>
          <c:w val="0.78853125109527789"/>
          <c:h val="0.56393513767184067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99753</c:v>
                </c:pt>
                <c:pt idx="1">
                  <c:v>115725</c:v>
                </c:pt>
                <c:pt idx="2">
                  <c:v>135936</c:v>
                </c:pt>
                <c:pt idx="3">
                  <c:v>157774</c:v>
                </c:pt>
                <c:pt idx="4">
                  <c:v>168302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F5-4937-AF2D-7B1E112631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33412815"/>
        <c:axId val="1723975823"/>
      </c:lineChart>
      <c:catAx>
        <c:axId val="33341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975823"/>
        <c:crosses val="autoZero"/>
        <c:auto val="1"/>
        <c:lblAlgn val="ctr"/>
        <c:lblOffset val="100"/>
        <c:noMultiLvlLbl val="0"/>
      </c:catAx>
      <c:valAx>
        <c:axId val="1723975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41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C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Trend (FY2021 - FY2025)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37454581971045"/>
          <c:y val="0.24385940944961668"/>
          <c:w val="0.77984699422397852"/>
          <c:h val="0.55405281047822508"/>
        </c:manualLayout>
      </c:layout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31857</c:v>
                </c:pt>
                <c:pt idx="1">
                  <c:v>38151</c:v>
                </c:pt>
                <c:pt idx="2">
                  <c:v>44109</c:v>
                </c:pt>
                <c:pt idx="3">
                  <c:v>60812</c:v>
                </c:pt>
                <c:pt idx="4">
                  <c:v>67347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5-48F1-941A-0FBEFE5046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10888735"/>
        <c:axId val="297305167"/>
      </c:lineChart>
      <c:catAx>
        <c:axId val="201088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05167"/>
        <c:crosses val="autoZero"/>
        <c:auto val="1"/>
        <c:lblAlgn val="ctr"/>
        <c:lblOffset val="100"/>
        <c:noMultiLvlLbl val="0"/>
      </c:catAx>
      <c:valAx>
        <c:axId val="29730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8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C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Deposits &amp; Advances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62420674850943"/>
          <c:y val="0.28497764623614935"/>
          <c:w val="0.77936376283441966"/>
          <c:h val="0.377797166029348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DEPOSITS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DATA!$E$2:$E$6</c:f>
              <c:numCache>
                <c:formatCode>General</c:formatCode>
                <c:ptCount val="5"/>
                <c:pt idx="0">
                  <c:v>1335060</c:v>
                </c:pt>
                <c:pt idx="1">
                  <c:v>1559217</c:v>
                </c:pt>
                <c:pt idx="2">
                  <c:v>1883395</c:v>
                </c:pt>
                <c:pt idx="3">
                  <c:v>2379786</c:v>
                </c:pt>
                <c:pt idx="4">
                  <c:v>2714715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3-40C4-8B95-EEAE72A721C3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ADVANCES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DATA!$F$2:$F$6</c:f>
              <c:numCache>
                <c:formatCode>General</c:formatCode>
                <c:ptCount val="5"/>
                <c:pt idx="0">
                  <c:v>1132837</c:v>
                </c:pt>
                <c:pt idx="1">
                  <c:v>1368821</c:v>
                </c:pt>
                <c:pt idx="2">
                  <c:v>1600586</c:v>
                </c:pt>
                <c:pt idx="3">
                  <c:v>2484862</c:v>
                </c:pt>
                <c:pt idx="4">
                  <c:v>2619609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3-40C4-8B95-EEAE72A72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804015"/>
        <c:axId val="297291727"/>
      </c:barChart>
      <c:catAx>
        <c:axId val="29980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291727"/>
        <c:crosses val="autoZero"/>
        <c:auto val="1"/>
        <c:lblAlgn val="ctr"/>
        <c:lblOffset val="100"/>
        <c:noMultiLvlLbl val="0"/>
      </c:catAx>
      <c:valAx>
        <c:axId val="297291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0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C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EPS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DATA!$D$2:$D$6</c:f>
              <c:numCache>
                <c:formatCode>General</c:formatCode>
                <c:ptCount val="5"/>
                <c:pt idx="0">
                  <c:v>56.58</c:v>
                </c:pt>
                <c:pt idx="1">
                  <c:v>66.8</c:v>
                </c:pt>
                <c:pt idx="2">
                  <c:v>79.3</c:v>
                </c:pt>
                <c:pt idx="3">
                  <c:v>85.83</c:v>
                </c:pt>
                <c:pt idx="4">
                  <c:v>88.29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7-4748-9C3A-67DC1187438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57891599"/>
        <c:axId val="297390127"/>
      </c:lineChart>
      <c:catAx>
        <c:axId val="25789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90127"/>
        <c:crosses val="autoZero"/>
        <c:auto val="1"/>
        <c:lblAlgn val="ctr"/>
        <c:lblOffset val="100"/>
        <c:noMultiLvlLbl val="0"/>
      </c:catAx>
      <c:valAx>
        <c:axId val="29739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89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C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Growth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CALCULATIONS!$B$2:$B$6</c:f>
              <c:numCache>
                <c:formatCode>0.00%</c:formatCode>
                <c:ptCount val="5"/>
                <c:pt idx="1">
                  <c:v>0.16011548524856395</c:v>
                </c:pt>
                <c:pt idx="2">
                  <c:v>0.17464679196370705</c:v>
                </c:pt>
                <c:pt idx="3">
                  <c:v>0.16064912900188325</c:v>
                </c:pt>
                <c:pt idx="4">
                  <c:v>6.6728358284634984E-2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6-4887-B9DE-6BB0EDC82E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0578703"/>
        <c:axId val="1723898063"/>
      </c:barChart>
      <c:catAx>
        <c:axId val="200057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898063"/>
        <c:crosses val="autoZero"/>
        <c:auto val="1"/>
        <c:lblAlgn val="ctr"/>
        <c:lblOffset val="100"/>
        <c:noMultiLvlLbl val="0"/>
      </c:catAx>
      <c:valAx>
        <c:axId val="17238980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7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C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Growth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2812325977819"/>
          <c:y val="0.29018430395044942"/>
          <c:w val="0.85098160908790765"/>
          <c:h val="0.501433200236500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CALCULATIONS!$C$2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CALCULATIONS!$A$3:$A$6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CALCULATIONS!$C$3:$C$6</c:f>
              <c:numCache>
                <c:formatCode>0.00%</c:formatCode>
                <c:ptCount val="4"/>
                <c:pt idx="0">
                  <c:v>0.19757039269234392</c:v>
                </c:pt>
                <c:pt idx="1">
                  <c:v>0.15616890776126444</c:v>
                </c:pt>
                <c:pt idx="2">
                  <c:v>0.37867555374186673</c:v>
                </c:pt>
                <c:pt idx="3">
                  <c:v>0.10746234295862658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5-4064-AFB9-6AA8E92203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6078095"/>
        <c:axId val="297410767"/>
      </c:barChart>
      <c:catAx>
        <c:axId val="27607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10767"/>
        <c:crosses val="autoZero"/>
        <c:auto val="1"/>
        <c:lblAlgn val="ctr"/>
        <c:lblOffset val="100"/>
        <c:noMultiLvlLbl val="0"/>
      </c:catAx>
      <c:valAx>
        <c:axId val="29741076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7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C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404447</xdr:colOff>
      <xdr:row>3</xdr:row>
      <xdr:rowOff>0</xdr:rowOff>
    </xdr:from>
    <xdr:to>
      <xdr:col>2</xdr:col>
      <xdr:colOff>181708</xdr:colOff>
      <xdr:row>6</xdr:row>
      <xdr:rowOff>11722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0AA93F9-D7C2-5F26-DA6C-58A64AD6E5E9}"/>
            </a:ext>
          </a:extLst>
        </xdr:cNvPr>
        <xdr:cNvSpPr/>
      </xdr:nvSpPr>
      <xdr:spPr>
        <a:xfrm>
          <a:off x="404447" y="545123"/>
          <a:ext cx="1611923" cy="55684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REVENUE</a:t>
          </a:r>
        </a:p>
        <a:p>
          <a:pPr algn="l"/>
          <a:endParaRPr lang="en-IN" sz="1200" b="1"/>
        </a:p>
        <a:p>
          <a:pPr algn="l"/>
          <a:endParaRPr lang="en-IN" sz="1200" b="1"/>
        </a:p>
      </xdr:txBody>
    </xdr:sp>
    <xdr:clientData/>
  </xdr:twoCellAnchor>
  <xdr:twoCellAnchor>
    <xdr:from>
      <xdr:col>2</xdr:col>
      <xdr:colOff>187570</xdr:colOff>
      <xdr:row>2</xdr:row>
      <xdr:rowOff>175846</xdr:rowOff>
    </xdr:from>
    <xdr:to>
      <xdr:col>4</xdr:col>
      <xdr:colOff>175847</xdr:colOff>
      <xdr:row>6</xdr:row>
      <xdr:rowOff>11722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91AC123-CDD0-4473-87F9-83A1FA9477D3}"/>
            </a:ext>
          </a:extLst>
        </xdr:cNvPr>
        <xdr:cNvSpPr/>
      </xdr:nvSpPr>
      <xdr:spPr>
        <a:xfrm>
          <a:off x="2022232" y="539261"/>
          <a:ext cx="1658815" cy="56270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NET PROFIT</a:t>
          </a:r>
        </a:p>
      </xdr:txBody>
    </xdr:sp>
    <xdr:clientData/>
  </xdr:twoCellAnchor>
  <xdr:twoCellAnchor>
    <xdr:from>
      <xdr:col>4</xdr:col>
      <xdr:colOff>175847</xdr:colOff>
      <xdr:row>2</xdr:row>
      <xdr:rowOff>175846</xdr:rowOff>
    </xdr:from>
    <xdr:to>
      <xdr:col>6</xdr:col>
      <xdr:colOff>164124</xdr:colOff>
      <xdr:row>6</xdr:row>
      <xdr:rowOff>11722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AEC3BF-5661-4B5F-B2E4-C6FB0F6FE256}"/>
            </a:ext>
          </a:extLst>
        </xdr:cNvPr>
        <xdr:cNvSpPr/>
      </xdr:nvSpPr>
      <xdr:spPr>
        <a:xfrm>
          <a:off x="3681047" y="539261"/>
          <a:ext cx="2121877" cy="56270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DEPOSITS</a:t>
          </a:r>
        </a:p>
      </xdr:txBody>
    </xdr:sp>
    <xdr:clientData/>
  </xdr:twoCellAnchor>
  <xdr:twoCellAnchor>
    <xdr:from>
      <xdr:col>6</xdr:col>
      <xdr:colOff>169984</xdr:colOff>
      <xdr:row>2</xdr:row>
      <xdr:rowOff>164125</xdr:rowOff>
    </xdr:from>
    <xdr:to>
      <xdr:col>8</xdr:col>
      <xdr:colOff>158261</xdr:colOff>
      <xdr:row>6</xdr:row>
      <xdr:rowOff>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1E37EEE-370F-40D1-8F0C-D8FB461512FD}"/>
            </a:ext>
          </a:extLst>
        </xdr:cNvPr>
        <xdr:cNvSpPr/>
      </xdr:nvSpPr>
      <xdr:spPr>
        <a:xfrm>
          <a:off x="5808784" y="527540"/>
          <a:ext cx="2051539" cy="56270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ADVANCES</a:t>
          </a:r>
        </a:p>
      </xdr:txBody>
    </xdr:sp>
    <xdr:clientData/>
  </xdr:twoCellAnchor>
  <xdr:twoCellAnchor>
    <xdr:from>
      <xdr:col>8</xdr:col>
      <xdr:colOff>164124</xdr:colOff>
      <xdr:row>2</xdr:row>
      <xdr:rowOff>158262</xdr:rowOff>
    </xdr:from>
    <xdr:to>
      <xdr:col>10</xdr:col>
      <xdr:colOff>586155</xdr:colOff>
      <xdr:row>5</xdr:row>
      <xdr:rowOff>169984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868468C-374A-43C7-B4E4-945F9AE5CE9D}"/>
            </a:ext>
          </a:extLst>
        </xdr:cNvPr>
        <xdr:cNvSpPr/>
      </xdr:nvSpPr>
      <xdr:spPr>
        <a:xfrm>
          <a:off x="7866186" y="521677"/>
          <a:ext cx="1746738" cy="55684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EPS</a:t>
          </a:r>
        </a:p>
      </xdr:txBody>
    </xdr:sp>
    <xdr:clientData/>
  </xdr:twoCellAnchor>
  <xdr:twoCellAnchor>
    <xdr:from>
      <xdr:col>0</xdr:col>
      <xdr:colOff>64476</xdr:colOff>
      <xdr:row>8</xdr:row>
      <xdr:rowOff>140675</xdr:rowOff>
    </xdr:from>
    <xdr:to>
      <xdr:col>4</xdr:col>
      <xdr:colOff>41031</xdr:colOff>
      <xdr:row>17</xdr:row>
      <xdr:rowOff>76199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E70E6C-FB6B-4F8C-B894-5409A4090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158261</xdr:colOff>
      <xdr:row>8</xdr:row>
      <xdr:rowOff>105509</xdr:rowOff>
    </xdr:from>
    <xdr:to>
      <xdr:col>7</xdr:col>
      <xdr:colOff>1008184</xdr:colOff>
      <xdr:row>17</xdr:row>
      <xdr:rowOff>58616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10AF1F-E912-4596-803F-E25975245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1072662</xdr:colOff>
      <xdr:row>8</xdr:row>
      <xdr:rowOff>105506</xdr:rowOff>
    </xdr:from>
    <xdr:to>
      <xdr:col>12</xdr:col>
      <xdr:colOff>175846</xdr:colOff>
      <xdr:row>17</xdr:row>
      <xdr:rowOff>70338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8784434-945B-4FCC-B41E-A41B11AA6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35168</xdr:colOff>
      <xdr:row>17</xdr:row>
      <xdr:rowOff>64478</xdr:rowOff>
    </xdr:from>
    <xdr:to>
      <xdr:col>4</xdr:col>
      <xdr:colOff>41031</xdr:colOff>
      <xdr:row>26</xdr:row>
      <xdr:rowOff>140677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EFBCF19-6988-4B31-B764-1E50437BE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164123</xdr:colOff>
      <xdr:row>17</xdr:row>
      <xdr:rowOff>46891</xdr:rowOff>
    </xdr:from>
    <xdr:to>
      <xdr:col>7</xdr:col>
      <xdr:colOff>978877</xdr:colOff>
      <xdr:row>26</xdr:row>
      <xdr:rowOff>175846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E219F74-9C4F-4EFF-BC4E-B7B351294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1090248</xdr:colOff>
      <xdr:row>17</xdr:row>
      <xdr:rowOff>52753</xdr:rowOff>
    </xdr:from>
    <xdr:to>
      <xdr:col>12</xdr:col>
      <xdr:colOff>205155</xdr:colOff>
      <xdr:row>26</xdr:row>
      <xdr:rowOff>164123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4EF565C-DC5B-4D78-8648-69896B5C0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82062</xdr:colOff>
      <xdr:row>33</xdr:row>
      <xdr:rowOff>70337</xdr:rowOff>
    </xdr:from>
    <xdr:to>
      <xdr:col>4</xdr:col>
      <xdr:colOff>275492</xdr:colOff>
      <xdr:row>42</xdr:row>
      <xdr:rowOff>105506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D236255-3266-4BED-BBB1-73F93BC9D4CC}"/>
            </a:ext>
          </a:extLst>
        </xdr:cNvPr>
        <xdr:cNvSpPr txBox="1"/>
      </xdr:nvSpPr>
      <xdr:spPr>
        <a:xfrm>
          <a:off x="82062" y="6389075"/>
          <a:ext cx="3698630" cy="1670539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bg1"/>
              </a:solidFill>
              <a:latin typeface="Bahnschrift Light SemiCondensed" panose="020B0502040204020203" pitchFamily="34" charset="0"/>
            </a:rPr>
            <a:t>SOURCE: HDFC Bank Annual Reports FY2021-FY2025</a:t>
          </a:r>
        </a:p>
        <a:p>
          <a:r>
            <a:rPr lang="en-IN" sz="1400" b="1">
              <a:solidFill>
                <a:schemeClr val="bg1"/>
              </a:solidFill>
              <a:latin typeface="Bahnschrift Light SemiCondensed" panose="020B0502040204020203" pitchFamily="34" charset="0"/>
            </a:rPr>
            <a:t>PREPARED</a:t>
          </a:r>
          <a:r>
            <a:rPr lang="en-IN" sz="1400" b="1" baseline="0">
              <a:solidFill>
                <a:schemeClr val="bg1"/>
              </a:solidFill>
              <a:latin typeface="Bahnschrift Light SemiCondensed" panose="020B0502040204020203" pitchFamily="34" charset="0"/>
            </a:rPr>
            <a:t> BY</a:t>
          </a:r>
          <a:r>
            <a:rPr lang="en-IN" sz="1400" b="1">
              <a:solidFill>
                <a:schemeClr val="bg1"/>
              </a:solidFill>
              <a:latin typeface="Bahnschrift Light SemiCondensed" panose="020B0502040204020203" pitchFamily="34" charset="0"/>
            </a:rPr>
            <a:t>: Lohitha Narla</a:t>
          </a:r>
        </a:p>
        <a:p>
          <a:r>
            <a:rPr lang="en-IN" sz="1400" b="1">
              <a:solidFill>
                <a:schemeClr val="bg1"/>
              </a:solidFill>
              <a:latin typeface="Bahnschrift Light SemiCondensed" panose="020B0502040204020203" pitchFamily="34" charset="0"/>
            </a:rPr>
            <a:t>TOOL</a:t>
          </a:r>
          <a:r>
            <a:rPr lang="en-IN" sz="1400" b="1" baseline="0">
              <a:solidFill>
                <a:schemeClr val="bg1"/>
              </a:solidFill>
              <a:latin typeface="Bahnschrift Light SemiCondensed" panose="020B0502040204020203" pitchFamily="34" charset="0"/>
            </a:rPr>
            <a:t> USED</a:t>
          </a:r>
          <a:r>
            <a:rPr lang="en-IN" sz="1400" b="1">
              <a:solidFill>
                <a:schemeClr val="bg1"/>
              </a:solidFill>
              <a:latin typeface="Bahnschrift Light SemiCondensed" panose="020B0502040204020203" pitchFamily="34" charset="0"/>
            </a:rPr>
            <a:t>: Microsoft Excel</a:t>
          </a:r>
        </a:p>
        <a:p>
          <a:r>
            <a:rPr lang="en-IN" sz="1400" b="1">
              <a:solidFill>
                <a:schemeClr val="bg1"/>
              </a:solidFill>
              <a:latin typeface="Bahnschrift Light SemiCondensed" panose="020B0502040204020203" pitchFamily="34" charset="0"/>
            </a:rPr>
            <a:t>DASHBOARD</a:t>
          </a:r>
          <a:r>
            <a:rPr lang="en-IN" sz="1400" b="1" baseline="0">
              <a:solidFill>
                <a:schemeClr val="bg1"/>
              </a:solidFill>
              <a:latin typeface="Bahnschrift Light SemiCondensed" panose="020B0502040204020203" pitchFamily="34" charset="0"/>
            </a:rPr>
            <a:t> TYPE</a:t>
          </a:r>
          <a:r>
            <a:rPr lang="en-IN" sz="1400" b="1">
              <a:solidFill>
                <a:schemeClr val="bg1"/>
              </a:solidFill>
              <a:latin typeface="Bahnschrift Light SemiCondensed" panose="020B0502040204020203" pitchFamily="34" charset="0"/>
            </a:rPr>
            <a:t>: Dynamic Financial Analysis Dashboard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9D1DE-F62D-4FE2-9D3F-34225485E11B}" name="tbl_HDFC" displayName="tbl_HDFC" ref="A1:F6" totalsRowShown="0">
  <autoFilter ref="A1:F6" xr:uid="{15C9D1DE-F62D-4FE2-9D3F-34225485E11B}"/>
  <tableColumns count="6">
    <tableColumn id="1" xr3:uid="{C44CBAE8-A25D-4DD7-80E0-30A7609C9790}" name="YEAR"/>
    <tableColumn id="2" xr3:uid="{17888F25-84D1-4570-A52A-FF13F29D8EED}" name="REVENUE"/>
    <tableColumn id="3" xr3:uid="{C08B8E60-E394-4D46-86D9-55C7F314955B}" name="NET PROFIT"/>
    <tableColumn id="4" xr3:uid="{8565F47F-4702-412E-8FF3-ACB6907C4111}" name="EPS"/>
    <tableColumn id="5" xr3:uid="{ECA44546-4E5C-4F0B-8F51-689BE3629497}" name="DEPOSITS"/>
    <tableColumn id="6" xr3:uid="{ABEEF84A-1ECD-4F37-8417-8F81B3B5D14B}" name="ADVAN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8398-0293-4CB7-8ED7-3C196239AB19}">
  <dimension ref="A1:F6"/>
  <sheetViews>
    <sheetView zoomScale="235" zoomScaleNormal="235" workbookViewId="0">
      <selection activeCell="A7" sqref="A7"/>
    </sheetView>
  </sheetViews>
  <sheetFormatPr defaultRowHeight="14.4" x14ac:dyDescent="0.3"/>
  <cols>
    <col min="2" max="2" width="9.21875" customWidth="1"/>
    <col min="3" max="3" width="11.109375" customWidth="1"/>
    <col min="5" max="5" width="9.33203125" customWidth="1"/>
    <col min="6" max="6" width="1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99753</v>
      </c>
      <c r="C2">
        <v>31857</v>
      </c>
      <c r="D2">
        <v>56.58</v>
      </c>
      <c r="E2">
        <v>1335060</v>
      </c>
      <c r="F2">
        <v>1132837</v>
      </c>
    </row>
    <row r="3" spans="1:6" x14ac:dyDescent="0.3">
      <c r="A3" t="s">
        <v>7</v>
      </c>
      <c r="B3">
        <v>115725</v>
      </c>
      <c r="C3">
        <v>38151</v>
      </c>
      <c r="D3">
        <v>66.8</v>
      </c>
      <c r="E3">
        <v>1559217</v>
      </c>
      <c r="F3">
        <v>1368821</v>
      </c>
    </row>
    <row r="4" spans="1:6" x14ac:dyDescent="0.3">
      <c r="A4" t="s">
        <v>8</v>
      </c>
      <c r="B4">
        <v>135936</v>
      </c>
      <c r="C4">
        <v>44109</v>
      </c>
      <c r="D4">
        <v>79.3</v>
      </c>
      <c r="E4">
        <v>1883395</v>
      </c>
      <c r="F4">
        <v>1600586</v>
      </c>
    </row>
    <row r="5" spans="1:6" x14ac:dyDescent="0.3">
      <c r="A5" t="s">
        <v>9</v>
      </c>
      <c r="B5">
        <v>157774</v>
      </c>
      <c r="C5">
        <v>60812</v>
      </c>
      <c r="D5">
        <v>85.83</v>
      </c>
      <c r="E5">
        <v>2379786</v>
      </c>
      <c r="F5">
        <v>2484862</v>
      </c>
    </row>
    <row r="6" spans="1:6" x14ac:dyDescent="0.3">
      <c r="A6" t="s">
        <v>10</v>
      </c>
      <c r="B6">
        <v>168302</v>
      </c>
      <c r="C6">
        <v>67347</v>
      </c>
      <c r="D6">
        <v>88.29</v>
      </c>
      <c r="E6">
        <v>2714715</v>
      </c>
      <c r="F6">
        <v>2619609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87FE-3E71-41DA-9907-584CA6FE431F}">
  <dimension ref="A1:AJ6"/>
  <sheetViews>
    <sheetView zoomScale="175" zoomScaleNormal="175" workbookViewId="0">
      <selection activeCell="T5" sqref="T5:AJ5"/>
    </sheetView>
  </sheetViews>
  <sheetFormatPr defaultRowHeight="14.4" x14ac:dyDescent="0.3"/>
  <cols>
    <col min="2" max="2" width="17.44140625" customWidth="1"/>
    <col min="3" max="3" width="15.44140625" customWidth="1"/>
    <col min="4" max="4" width="17.88671875" customWidth="1"/>
    <col min="5" max="5" width="17" customWidth="1"/>
    <col min="8" max="8" width="12.33203125" customWidth="1"/>
    <col min="11" max="11" width="17.6640625" customWidth="1"/>
    <col min="12" max="12" width="35.21875" customWidth="1"/>
    <col min="13" max="13" width="17.6640625" customWidth="1"/>
    <col min="14" max="14" width="15.44140625" customWidth="1"/>
    <col min="16" max="16" width="38.6640625" customWidth="1"/>
    <col min="18" max="18" width="40.44140625" customWidth="1"/>
    <col min="20" max="20" width="66.5546875" customWidth="1"/>
  </cols>
  <sheetData>
    <row r="1" spans="1:3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H1" t="s">
        <v>19</v>
      </c>
      <c r="I1" t="str">
        <f>DASHBOARD!L5</f>
        <v>FY2025</v>
      </c>
      <c r="K1" t="s">
        <v>26</v>
      </c>
      <c r="L1" t="str">
        <f>"Revenue in "&amp;I1&amp;" was ₹"&amp;TEXT(I2,"#,##0")&amp;" Cr"</f>
        <v>Revenue in FY2025 was ₹1,68,302 Cr</v>
      </c>
      <c r="M1" t="s">
        <v>12</v>
      </c>
      <c r="N1" t="s">
        <v>13</v>
      </c>
      <c r="P1" t="s">
        <v>28</v>
      </c>
      <c r="R1" t="s">
        <v>29</v>
      </c>
      <c r="T1" t="s">
        <v>30</v>
      </c>
    </row>
    <row r="2" spans="1:36" x14ac:dyDescent="0.3">
      <c r="A2" t="s">
        <v>6</v>
      </c>
      <c r="H2" t="s">
        <v>18</v>
      </c>
      <c r="I2">
        <f>_xlfn.XLOOKUP(I1,DATA!A2:A6,DATA!B2:B6)</f>
        <v>168302</v>
      </c>
      <c r="K2" t="s">
        <v>27</v>
      </c>
      <c r="L2" t="str">
        <f>"Net Profit in "&amp;I1&amp;" was ₹"&amp;TEXT(I3,"#,##0")&amp;" Cr"</f>
        <v>Net Profit in FY2025 was ₹67,347 Cr</v>
      </c>
      <c r="M2" s="2">
        <f>(I2-DATA!B2)/DATA!B2</f>
        <v>0.68718735276132048</v>
      </c>
      <c r="N2" s="2">
        <f>(I3-DATA!C2)/DATA!C2</f>
        <v>1.114040870138431</v>
      </c>
      <c r="P2" t="str">
        <f>"• Revenue in "&amp;I1&amp;" was ₹"&amp;TEXT(I2,"#,##0")&amp;" Cr."</f>
        <v>• Revenue in FY2025 was ₹1,68,302 Cr.</v>
      </c>
      <c r="R2" t="str">
        <f>IF(I2&gt;150000,"• Revenue performance remained strong.","• Revenue performance showed steady growth.")</f>
        <v>• Revenue performance remained strong.</v>
      </c>
      <c r="T2" s="1" t="str">
        <f>"In "&amp;I1&amp;", HDFC Bank reported Revenue of ₹"&amp;TEXT(I2,"#,##0")&amp;" Cr and Net Profit of ₹"&amp;TEXT(I3,"#,##0")&amp;" Cr. Deposits stood at ₹"&amp;TEXT(I5,"#,##0")&amp;" Cr while Advances reached ₹"&amp;TEXT(I6,"#,##0")&amp;" Cr. EPS was ₹"&amp;TEXT(I4,"0.00")&amp;", indicating continued financial strength and business expansion."</f>
        <v>In FY2025, HDFC Bank reported Revenue of ₹1,68,302 Cr and Net Profit of ₹67,347 Cr. Deposits stood at ₹27,14,715 Cr while Advances reached ₹26,19,609 Cr. EPS was ₹88.29, indicating continued financial strength and business expansion.</v>
      </c>
    </row>
    <row r="3" spans="1:36" x14ac:dyDescent="0.3">
      <c r="A3" t="s">
        <v>7</v>
      </c>
      <c r="B3" s="2">
        <f>(DATA!B3-DATA!B2)/DATA!B2</f>
        <v>0.16011548524856395</v>
      </c>
      <c r="C3" s="2">
        <f>(DATA!C3-DATA!C2)/DATA!C2</f>
        <v>0.19757039269234392</v>
      </c>
      <c r="D3" s="2">
        <f>(DATA!E3-DATA!E2)/DATA!E2</f>
        <v>0.16790031908678263</v>
      </c>
      <c r="E3" s="2">
        <f>(DATA!F3-DATA!F2)/DATA!F2</f>
        <v>0.20831240505032939</v>
      </c>
      <c r="H3" t="s">
        <v>20</v>
      </c>
      <c r="I3">
        <f>_xlfn.XLOOKUP(I1,DATA!A2:A6,DATA!C2:C6)</f>
        <v>67347</v>
      </c>
      <c r="K3" t="s">
        <v>23</v>
      </c>
      <c r="L3" t="str">
        <f>"EPS in "&amp;I1&amp;" was ₹"&amp;TEXT(I4,"0.00")</f>
        <v>EPS in FY2025 was ₹88.29</v>
      </c>
      <c r="P3" t="str">
        <f>"• Net Profit in "&amp;I1&amp;" was ₹"&amp;TEXT(I3,"#,##0")&amp;" Cr."</f>
        <v>• Net Profit in FY2025 was ₹67,347 Cr.</v>
      </c>
      <c r="R3" t="str">
        <f>IF(I3&gt;60000,"• Profitability remained strong.","• Profitability continued to improve.")</f>
        <v>• Profitability remained strong.</v>
      </c>
    </row>
    <row r="4" spans="1:36" x14ac:dyDescent="0.3">
      <c r="A4" t="s">
        <v>8</v>
      </c>
      <c r="B4" s="2">
        <f>(DATA!B4-DATA!B3)/DATA!B3</f>
        <v>0.17464679196370705</v>
      </c>
      <c r="C4" s="2">
        <f>(DATA!C4-DATA!C3)/DATA!C3</f>
        <v>0.15616890776126444</v>
      </c>
      <c r="D4" s="2">
        <f>(DATA!E4-DATA!E3)/DATA!E3</f>
        <v>0.20791076546753914</v>
      </c>
      <c r="E4" s="2">
        <f>(DATA!F4-DATA!F3)/DATA!F3</f>
        <v>0.16931724454841063</v>
      </c>
      <c r="H4" t="s">
        <v>3</v>
      </c>
      <c r="I4">
        <f>_xlfn.XLOOKUP(I1,DATA!A2:A6,DATA!D2:D6)</f>
        <v>88.29</v>
      </c>
      <c r="K4" t="s">
        <v>24</v>
      </c>
      <c r="L4" t="str">
        <f>"Deposits in "&amp;I1&amp;" were ₹"&amp;TEXT(I5,"#,##0")&amp;" Cr"</f>
        <v>Deposits in FY2025 were ₹27,14,715 Cr</v>
      </c>
      <c r="P4" t="str">
        <f>"• Deposits in "&amp;I1&amp;" were ₹"&amp;TEXT(I5,"#,##0")&amp;" Cr."</f>
        <v>• Deposits in FY2025 were ₹27,14,715 Cr.</v>
      </c>
      <c r="R4" t="str">
        <f>IF(I5&gt;2500000,"• Deposit base remained robust.","• Deposit base continued to expand.")</f>
        <v>• Deposit base remained robust.</v>
      </c>
      <c r="T4" t="s">
        <v>31</v>
      </c>
    </row>
    <row r="5" spans="1:36" x14ac:dyDescent="0.3">
      <c r="A5" t="s">
        <v>9</v>
      </c>
      <c r="B5" s="2">
        <f>(DATA!B5-DATA!B4)/DATA!B4</f>
        <v>0.16064912900188325</v>
      </c>
      <c r="C5" s="2">
        <f>(DATA!C5-DATA!C4)/DATA!C4</f>
        <v>0.37867555374186673</v>
      </c>
      <c r="D5" s="2">
        <f>(DATA!E5-DATA!E4)/DATA!E4</f>
        <v>0.26356181257781824</v>
      </c>
      <c r="E5" s="2">
        <f>(DATA!F5-DATA!F4)/DATA!F4</f>
        <v>0.55247015780470399</v>
      </c>
      <c r="H5" t="s">
        <v>21</v>
      </c>
      <c r="I5">
        <f>_xlfn.XLOOKUP(I1,DATA!A2:A6,DATA!E2:E6)</f>
        <v>2714715</v>
      </c>
      <c r="K5" t="s">
        <v>25</v>
      </c>
      <c r="L5" t="str">
        <f>"Advances in "&amp;I1&amp;" were ₹"&amp;TEXT(I6,"#,##0")&amp;" Cr"</f>
        <v>Advances in FY2025 were ₹26,19,609 Cr</v>
      </c>
      <c r="P5" t="str">
        <f>"• Advances in "&amp;I1&amp;" were ₹"&amp;TEXT(I6,"#,##0")&amp;" Cr."</f>
        <v>• Advances in FY2025 were ₹26,19,609 Cr.</v>
      </c>
      <c r="R5" t="str">
        <f>IF(I6&gt;2400000,"• Lending activity remained strong.","• Lending portfolio showed growth.")</f>
        <v>• Lending activity remained strong.</v>
      </c>
      <c r="T5" s="14" t="str">
        <f>"In "&amp;I1&amp;", HDFC Bank reported Revenue of ₹"&amp;TEXT(I2,"#,##0")&amp;" Cr and Net Profit of ₹"&amp;TEXT(I3,"#,##0")&amp;" Cr. The bank maintained a strong deposit base of ₹"&amp;TEXT(I5,"#,##0")&amp;" Cr and advances portfolio of ₹"&amp;TEXT(I6,"#,##0")&amp;" Cr, reflecting sustained business growth and financial strength."</f>
        <v>In FY2025, HDFC Bank reported Revenue of ₹1,68,302 Cr and Net Profit of ₹67,347 Cr. The bank maintained a strong deposit base of ₹27,14,715 Cr and advances portfolio of ₹26,19,609 Cr, reflecting sustained business growth and financial strength.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x14ac:dyDescent="0.3">
      <c r="A6" t="s">
        <v>10</v>
      </c>
      <c r="B6" s="2">
        <f>(DATA!B6-DATA!B5)/DATA!B5</f>
        <v>6.6728358284634984E-2</v>
      </c>
      <c r="C6" s="2">
        <f>(DATA!C6-DATA!C5)/DATA!C5</f>
        <v>0.10746234295862658</v>
      </c>
      <c r="D6" s="2">
        <f>(DATA!E6-DATA!E5)/DATA!E5</f>
        <v>0.14073912528269347</v>
      </c>
      <c r="E6" s="2">
        <f>(DATA!F6-DATA!F5)/DATA!F5</f>
        <v>5.4227156276686596E-2</v>
      </c>
      <c r="H6" t="s">
        <v>22</v>
      </c>
      <c r="I6">
        <f>_xlfn.XLOOKUP(I1,DATA!A2:A6,DATA!F2:F6)</f>
        <v>2619609</v>
      </c>
      <c r="P6" t="str">
        <f>"• EPS in "&amp;I1&amp;" was ₹"&amp;TEXT(I4,"0.00")</f>
        <v>• EPS in FY2025 was ₹88.29</v>
      </c>
      <c r="R6" t="str">
        <f>IF(I4&gt;80,"• Shareholder value creation remained strong.","• Shareholder value improved steadily.")</f>
        <v>• Shareholder value creation remained strong.</v>
      </c>
    </row>
  </sheetData>
  <mergeCells count="1">
    <mergeCell ref="T5:A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84B6-F0A5-4D44-A2DE-223EAA85AA92}">
  <dimension ref="A1:L47"/>
  <sheetViews>
    <sheetView showGridLines="0" tabSelected="1" zoomScale="109" zoomScaleNormal="130" workbookViewId="0">
      <selection activeCell="L5" sqref="L5"/>
    </sheetView>
  </sheetViews>
  <sheetFormatPr defaultRowHeight="14.4" x14ac:dyDescent="0.3"/>
  <cols>
    <col min="2" max="2" width="17.88671875" bestFit="1" customWidth="1"/>
    <col min="4" max="4" width="15.44140625" bestFit="1" customWidth="1"/>
    <col min="6" max="6" width="22.21875" customWidth="1"/>
    <col min="8" max="8" width="21.21875" customWidth="1"/>
    <col min="10" max="10" width="10.44140625" bestFit="1" customWidth="1"/>
    <col min="12" max="12" width="16.44140625" customWidth="1"/>
  </cols>
  <sheetData>
    <row r="1" spans="1:12" ht="14.4" customHeight="1" x14ac:dyDescent="0.3">
      <c r="A1" s="13" t="s">
        <v>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4.4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x14ac:dyDescent="0.3">
      <c r="L4" s="6" t="s">
        <v>17</v>
      </c>
    </row>
    <row r="5" spans="1:12" x14ac:dyDescent="0.3">
      <c r="L5" s="6" t="s">
        <v>10</v>
      </c>
    </row>
    <row r="7" spans="1:12" ht="21" x14ac:dyDescent="0.4">
      <c r="B7" s="3">
        <f>CALCULATIONS!I2</f>
        <v>168302</v>
      </c>
      <c r="D7" s="3">
        <f>CALCULATIONS!I3</f>
        <v>67347</v>
      </c>
      <c r="F7" s="4">
        <f>CALCULATIONS!I5</f>
        <v>2714715</v>
      </c>
      <c r="H7" s="4">
        <f>CALCULATIONS!I6</f>
        <v>2619609</v>
      </c>
      <c r="J7" s="5">
        <f>CALCULATIONS!I4</f>
        <v>88.29</v>
      </c>
    </row>
    <row r="8" spans="1:12" ht="21" x14ac:dyDescent="0.4">
      <c r="B8" s="7">
        <f>CALCULATIONS!M2</f>
        <v>0.68718735276132048</v>
      </c>
      <c r="D8" s="7">
        <f>CALCULATIONS!N2</f>
        <v>1.114040870138431</v>
      </c>
    </row>
    <row r="29" spans="2:12" ht="25.8" x14ac:dyDescent="0.5">
      <c r="B29" s="12" t="s">
        <v>33</v>
      </c>
      <c r="C29" s="12"/>
      <c r="D29" s="12"/>
      <c r="E29" s="12"/>
      <c r="F29" s="12"/>
      <c r="G29" s="12" t="s">
        <v>32</v>
      </c>
      <c r="H29" s="12"/>
      <c r="I29" s="12"/>
      <c r="J29" s="12"/>
      <c r="K29" s="12"/>
      <c r="L29" s="10"/>
    </row>
    <row r="30" spans="2:12" ht="14.4" customHeight="1" x14ac:dyDescent="0.3">
      <c r="B30" s="11" t="str">
        <f>CALCULATIONS!T2</f>
        <v>In FY2025, HDFC Bank reported Revenue of ₹1,68,302 Cr and Net Profit of ₹67,347 Cr. Deposits stood at ₹27,14,715 Cr while Advances reached ₹26,19,609 Cr. EPS was ₹88.29, indicating continued financial strength and business expansion.</v>
      </c>
      <c r="C30" s="11"/>
      <c r="D30" s="11"/>
      <c r="E30" s="11"/>
      <c r="F30" s="11"/>
      <c r="G30" s="11" t="str">
        <f>CALCULATIONS!T5</f>
        <v>In FY2025, HDFC Bank reported Revenue of ₹1,68,302 Cr and Net Profit of ₹67,347 Cr. The bank maintained a strong deposit base of ₹27,14,715 Cr and advances portfolio of ₹26,19,609 Cr, reflecting sustained business growth and financial strength.</v>
      </c>
      <c r="H30" s="11"/>
      <c r="I30" s="11"/>
      <c r="J30" s="11"/>
      <c r="K30" s="11"/>
      <c r="L30" s="11"/>
    </row>
    <row r="31" spans="2:12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2:12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6" x14ac:dyDescent="0.3">
      <c r="B33" s="9"/>
      <c r="C33" s="9"/>
      <c r="D33" s="9"/>
      <c r="E33" s="9"/>
      <c r="F33" s="9"/>
    </row>
    <row r="34" spans="1:6" x14ac:dyDescent="0.3">
      <c r="B34" s="9"/>
      <c r="C34" s="9"/>
      <c r="D34" s="9"/>
      <c r="E34" s="9"/>
      <c r="F34" s="9"/>
    </row>
    <row r="35" spans="1:6" x14ac:dyDescent="0.3">
      <c r="B35" s="9"/>
      <c r="C35" s="9"/>
      <c r="D35" s="9"/>
      <c r="E35" s="9"/>
      <c r="F35" s="9"/>
    </row>
    <row r="36" spans="1:6" x14ac:dyDescent="0.3">
      <c r="B36" s="9"/>
      <c r="C36" s="9"/>
      <c r="D36" s="9"/>
      <c r="E36" s="9"/>
      <c r="F36" s="9"/>
    </row>
    <row r="37" spans="1:6" x14ac:dyDescent="0.3">
      <c r="B37" s="9"/>
      <c r="C37" s="9"/>
      <c r="D37" s="9"/>
      <c r="E37" s="9"/>
      <c r="F37" s="9"/>
    </row>
    <row r="38" spans="1:6" x14ac:dyDescent="0.3">
      <c r="B38" s="9"/>
      <c r="C38" s="9"/>
      <c r="D38" s="9"/>
      <c r="E38" s="9"/>
      <c r="F38" s="9"/>
    </row>
    <row r="41" spans="1:6" x14ac:dyDescent="0.3">
      <c r="A41" s="8"/>
      <c r="B41" s="8"/>
      <c r="C41" s="8"/>
      <c r="D41" s="8"/>
    </row>
    <row r="42" spans="1:6" x14ac:dyDescent="0.3">
      <c r="A42" s="8"/>
      <c r="B42" s="8"/>
      <c r="C42" s="8"/>
      <c r="D42" s="8"/>
    </row>
    <row r="43" spans="1:6" x14ac:dyDescent="0.3">
      <c r="A43" s="8"/>
      <c r="B43" s="8"/>
      <c r="C43" s="8"/>
      <c r="D43" s="8"/>
    </row>
    <row r="44" spans="1:6" x14ac:dyDescent="0.3">
      <c r="A44" s="8"/>
      <c r="B44" s="8"/>
      <c r="C44" s="8"/>
      <c r="D44" s="8"/>
    </row>
    <row r="45" spans="1:6" x14ac:dyDescent="0.3">
      <c r="A45" s="8"/>
      <c r="B45" s="8"/>
      <c r="C45" s="8"/>
      <c r="D45" s="8"/>
    </row>
    <row r="46" spans="1:6" x14ac:dyDescent="0.3">
      <c r="A46" s="8"/>
      <c r="B46" s="8"/>
      <c r="C46" s="8"/>
      <c r="D46" s="8"/>
    </row>
    <row r="47" spans="1:6" x14ac:dyDescent="0.3">
      <c r="A47" s="8"/>
      <c r="B47" s="8"/>
      <c r="C47" s="8"/>
      <c r="D47" s="8"/>
    </row>
  </sheetData>
  <mergeCells count="6">
    <mergeCell ref="B30:F32"/>
    <mergeCell ref="G29:K29"/>
    <mergeCell ref="G30:K32"/>
    <mergeCell ref="L30:L32"/>
    <mergeCell ref="A1:L2"/>
    <mergeCell ref="B29:F29"/>
  </mergeCells>
  <phoneticPr fontId="4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B8861A-0C13-40D2-B649-9B2629ADEC36}">
          <x14:formula1>
            <xm:f>DATA!$A$2:$A$6</xm:f>
          </x14:formula1>
          <xm:sqref>L5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Ashvith Narla</dc:creator>
  <cp:lastModifiedBy>Ashvith Narla</cp:lastModifiedBy>
  <dcterms:created xsi:type="dcterms:W3CDTF">2026-09-25T07:24:06Z</dcterms:created>
  <dcterms:modified xsi:type="dcterms:W3CDTF">2026-09-26T09:04:50Z</dcterms:modified>
</cp:coreProperties>
</file>